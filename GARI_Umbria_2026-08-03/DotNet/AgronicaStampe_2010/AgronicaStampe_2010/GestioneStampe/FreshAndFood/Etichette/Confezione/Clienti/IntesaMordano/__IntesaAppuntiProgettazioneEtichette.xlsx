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Foglio1" sheetId="1" r:id="rId1"/>
    <sheet name="Foglio2" sheetId="2" r:id="rId2"/>
    <sheet name="Foglio3" sheetId="3" r:id="rId3"/>
  </sheets>
  <calcPr calcId="152511"/>
</workbook>
</file>

<file path=xl/calcChain.xml><?xml version="1.0" encoding="utf-8"?>
<calcChain xmlns="http://schemas.openxmlformats.org/spreadsheetml/2006/main">
  <c r="B13" i="2" l="1"/>
  <c r="F7" i="2" s="1"/>
  <c r="B10" i="2"/>
  <c r="F8" i="2" l="1"/>
  <c r="F9" i="2" s="1"/>
  <c r="F10" i="2" s="1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B11" i="2"/>
  <c r="F11" i="2" l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B12" i="2"/>
  <c r="F5" i="1"/>
  <c r="G5" i="1" s="1"/>
</calcChain>
</file>

<file path=xl/sharedStrings.xml><?xml version="1.0" encoding="utf-8"?>
<sst xmlns="http://schemas.openxmlformats.org/spreadsheetml/2006/main" count="40" uniqueCount="16">
  <si>
    <t>Titolo</t>
  </si>
  <si>
    <t>Descrizione</t>
  </si>
  <si>
    <t>collocare i codici a barre sulla stessa posizione e distanza dal margine superiore e dal margine sinistro, come sul file di esempio: Gold Hort 16A</t>
  </si>
  <si>
    <t>Decrizione e funzionamento barcode</t>
  </si>
  <si>
    <t>Ci sono due barcode, entrambi codificati in CODE128C.
Il primo barcode a sinistra codifica il tipo di confezione, al momento non viene usato ed è sufficiente indicare il numero fisso 1000 (Anagrafica nella tabella A_Alveoli nel database "RintracciabilitaIntesaMordano".
Il secondo barcode viene invece usato e codifica una delle sette uscite 01..02...03. quando la cassetta passa lungo la linea viene letto il codice a barre e viene direzionata</t>
  </si>
  <si>
    <t>corrispondenza pixel cm</t>
  </si>
  <si>
    <t>N. Righe</t>
  </si>
  <si>
    <t>Altezza Totale</t>
  </si>
  <si>
    <t>Top</t>
  </si>
  <si>
    <t>Altezza Label</t>
  </si>
  <si>
    <t>n. Max Label</t>
  </si>
  <si>
    <t>Label disponibili</t>
  </si>
  <si>
    <t>Riga</t>
  </si>
  <si>
    <t>Spazio singolo bordo</t>
  </si>
  <si>
    <t>Spazio disponibile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</si>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</sst>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/>
    <xf numFmtId="0" fontId="2" fillId="0" borderId="0" xfId="0" applyFont="1"/>
    <xf numFmtId="0" fontId="0" fillId="0" borderId="1" xfId="0" applyFill="1" applyBorder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"/>
  <sheetViews>
    <sheetView workbookViewId="0">
      <selection activeCell="B9" sqref="B9"/>
    </sheetView>
  </sheetViews>
  <sheetFormatPr defaultColWidth="9.125" defaultRowHeight="15" x14ac:dyDescent="0.25"/>
  <cols>
    <col min="1" max="1" width="9.125" style="3"/>
    <col min="2" max="2" width="39" style="3" customWidth="1"/>
    <col min="3" max="3" width="78.125" style="3" customWidth="1"/>
    <col min="4" max="16384" width="9.125" style="3"/>
  </cols>
  <sheetData>
    <row r="1" spans="2:7" x14ac:dyDescent="0.25">
      <c r="B1" s="2" t="s">
        <v>0</v>
      </c>
      <c r="C1" s="2" t="s">
        <v>1</v>
      </c>
    </row>
    <row r="2" spans="2:7" ht="60" x14ac:dyDescent="0.25">
      <c r="B2" s="1" t="s">
        <v>2</v>
      </c>
    </row>
    <row r="3" spans="2:7" ht="90" x14ac:dyDescent="0.25">
      <c r="B3" s="3" t="s">
        <v>3</v>
      </c>
      <c r="C3" s="1" t="s">
        <v>4</v>
      </c>
    </row>
    <row r="5" spans="2:7" x14ac:dyDescent="0.25">
      <c r="B5" s="3" t="s">
        <v>5</v>
      </c>
      <c r="D5" s="3">
        <v>1</v>
      </c>
      <c r="E5" s="3">
        <v>0.26458333000000001</v>
      </c>
      <c r="F5" s="3">
        <f>D5*E5</f>
        <v>0.26458333000000001</v>
      </c>
      <c r="G5" s="3">
        <f>F5*2</f>
        <v>0.52916666000000001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0"/>
  <sheetViews>
    <sheetView tabSelected="1" workbookViewId="0">
      <selection activeCell="B2" sqref="B2"/>
    </sheetView>
  </sheetViews>
  <sheetFormatPr defaultRowHeight="15" x14ac:dyDescent="0.25"/>
  <cols>
    <col min="1" max="1" width="20" customWidth="1"/>
    <col min="4" max="4" width="4" bestFit="1" customWidth="1"/>
    <col min="5" max="5" width="2.875" bestFit="1" customWidth="1"/>
  </cols>
  <sheetData>
    <row r="2" spans="1:7" x14ac:dyDescent="0.25">
      <c r="A2" s="4" t="s">
        <v>8</v>
      </c>
      <c r="B2" s="4">
        <v>20</v>
      </c>
    </row>
    <row r="3" spans="1:7" x14ac:dyDescent="0.25">
      <c r="A3" s="4" t="s">
        <v>6</v>
      </c>
      <c r="B3" s="4">
        <v>12</v>
      </c>
    </row>
    <row r="4" spans="1:7" x14ac:dyDescent="0.25">
      <c r="A4" s="4" t="s">
        <v>7</v>
      </c>
      <c r="B4" s="4">
        <v>3020</v>
      </c>
    </row>
    <row r="5" spans="1:7" x14ac:dyDescent="0.25">
      <c r="A5" s="4" t="s">
        <v>9</v>
      </c>
      <c r="B5" s="4">
        <v>227</v>
      </c>
    </row>
    <row r="6" spans="1:7" x14ac:dyDescent="0.25">
      <c r="A6" s="6" t="s">
        <v>15</v>
      </c>
      <c r="B6" s="6">
        <v>20</v>
      </c>
      <c r="D6" s="4"/>
      <c r="E6" s="4"/>
      <c r="F6" s="4" t="s">
        <v>8</v>
      </c>
    </row>
    <row r="7" spans="1:7" ht="15.75" x14ac:dyDescent="0.25">
      <c r="D7" s="4" t="s">
        <v>12</v>
      </c>
      <c r="E7" s="4">
        <v>1</v>
      </c>
      <c r="F7" s="4">
        <f>ROUND(B2+B13, 0 )</f>
        <v>31</v>
      </c>
      <c r="G7" s="5" t="str">
        <f>IF(E7=$B$3, "&lt;&lt;&lt;---","")</f>
        <v/>
      </c>
    </row>
    <row r="8" spans="1:7" ht="15.75" x14ac:dyDescent="0.25">
      <c r="D8" s="4" t="s">
        <v>12</v>
      </c>
      <c r="E8" s="4">
        <v>2</v>
      </c>
      <c r="F8" s="4">
        <f>ROUND(F7+$B$5 + 2*$B$13, 0 )</f>
        <v>279</v>
      </c>
      <c r="G8" s="5" t="str">
        <f t="shared" ref="G8:G30" si="0">IF(E8=$B$3, "&lt;&lt;&lt;---","")</f>
        <v/>
      </c>
    </row>
    <row r="9" spans="1:7" ht="15.75" x14ac:dyDescent="0.25">
      <c r="D9" s="4" t="s">
        <v>12</v>
      </c>
      <c r="E9" s="4">
        <v>3</v>
      </c>
      <c r="F9" s="4">
        <f>ROUND(F8+$B$5 + 2*$B$13, 0 )</f>
        <v>527</v>
      </c>
      <c r="G9" s="5" t="str">
        <f t="shared" si="0"/>
        <v/>
      </c>
    </row>
    <row r="10" spans="1:7" ht="15.75" x14ac:dyDescent="0.25">
      <c r="A10" s="4" t="s">
        <v>10</v>
      </c>
      <c r="B10" s="4">
        <f>B4/B5</f>
        <v>13.303964757709251</v>
      </c>
      <c r="D10" s="4" t="s">
        <v>12</v>
      </c>
      <c r="E10" s="4">
        <v>4</v>
      </c>
      <c r="F10" s="4">
        <f t="shared" ref="F9:F30" si="1">ROUND(F9+$B$5 + 2*$B$13, 0 )</f>
        <v>775</v>
      </c>
      <c r="G10" s="5" t="str">
        <f t="shared" si="0"/>
        <v/>
      </c>
    </row>
    <row r="11" spans="1:7" ht="15.75" x14ac:dyDescent="0.25">
      <c r="A11" s="4" t="s">
        <v>11</v>
      </c>
      <c r="B11" s="4">
        <f>B10-B3</f>
        <v>1.3039647577092506</v>
      </c>
      <c r="D11" s="4" t="s">
        <v>12</v>
      </c>
      <c r="E11" s="4">
        <v>5</v>
      </c>
      <c r="F11" s="4">
        <f>ROUND(F10+$B$5 + 2*$B$13, 0 )</f>
        <v>1023</v>
      </c>
      <c r="G11" s="5" t="str">
        <f t="shared" si="0"/>
        <v/>
      </c>
    </row>
    <row r="12" spans="1:7" ht="15.75" x14ac:dyDescent="0.25">
      <c r="A12" s="4" t="s">
        <v>14</v>
      </c>
      <c r="B12" s="4">
        <f>(B11*B5) /B3</f>
        <v>24.666666666666657</v>
      </c>
      <c r="D12" s="4" t="s">
        <v>12</v>
      </c>
      <c r="E12" s="4">
        <v>6</v>
      </c>
      <c r="F12" s="4">
        <f t="shared" si="1"/>
        <v>1271</v>
      </c>
      <c r="G12" s="5" t="str">
        <f t="shared" si="0"/>
        <v/>
      </c>
    </row>
    <row r="13" spans="1:7" ht="15.75" x14ac:dyDescent="0.25">
      <c r="A13" s="4" t="s">
        <v>13</v>
      </c>
      <c r="B13" s="4">
        <f xml:space="preserve"> ( ((B4-(B2+B6))/(B3)) - B5) / 2</f>
        <v>10.666666666666671</v>
      </c>
      <c r="D13" s="4" t="s">
        <v>12</v>
      </c>
      <c r="E13" s="4">
        <v>7</v>
      </c>
      <c r="F13" s="4">
        <f t="shared" si="1"/>
        <v>1519</v>
      </c>
      <c r="G13" s="5" t="str">
        <f t="shared" si="0"/>
        <v/>
      </c>
    </row>
    <row r="14" spans="1:7" ht="15.75" x14ac:dyDescent="0.25">
      <c r="D14" s="4" t="s">
        <v>12</v>
      </c>
      <c r="E14" s="4">
        <v>8</v>
      </c>
      <c r="F14" s="4">
        <f t="shared" si="1"/>
        <v>1767</v>
      </c>
      <c r="G14" s="5" t="str">
        <f t="shared" si="0"/>
        <v/>
      </c>
    </row>
    <row r="15" spans="1:7" ht="15.75" x14ac:dyDescent="0.25">
      <c r="D15" s="4" t="s">
        <v>12</v>
      </c>
      <c r="E15" s="4">
        <v>9</v>
      </c>
      <c r="F15" s="4">
        <f t="shared" si="1"/>
        <v>2015</v>
      </c>
      <c r="G15" s="5" t="str">
        <f t="shared" si="0"/>
        <v/>
      </c>
    </row>
    <row r="16" spans="1:7" ht="15.75" x14ac:dyDescent="0.25">
      <c r="D16" s="4" t="s">
        <v>12</v>
      </c>
      <c r="E16" s="4">
        <v>10</v>
      </c>
      <c r="F16" s="4">
        <f t="shared" si="1"/>
        <v>2263</v>
      </c>
      <c r="G16" s="5" t="str">
        <f t="shared" si="0"/>
        <v/>
      </c>
    </row>
    <row r="17" spans="4:7" ht="15.75" x14ac:dyDescent="0.25">
      <c r="D17" s="4" t="s">
        <v>12</v>
      </c>
      <c r="E17" s="4">
        <v>11</v>
      </c>
      <c r="F17" s="4">
        <f t="shared" si="1"/>
        <v>2511</v>
      </c>
      <c r="G17" s="5" t="str">
        <f t="shared" si="0"/>
        <v/>
      </c>
    </row>
    <row r="18" spans="4:7" ht="15.75" x14ac:dyDescent="0.25">
      <c r="D18" s="4" t="s">
        <v>12</v>
      </c>
      <c r="E18" s="4">
        <v>12</v>
      </c>
      <c r="F18" s="4">
        <f t="shared" si="1"/>
        <v>2759</v>
      </c>
      <c r="G18" s="5" t="str">
        <f t="shared" si="0"/>
        <v>&lt;&lt;&lt;---</v>
      </c>
    </row>
    <row r="19" spans="4:7" ht="15.75" x14ac:dyDescent="0.25">
      <c r="D19" s="4" t="s">
        <v>12</v>
      </c>
      <c r="E19" s="4">
        <v>13</v>
      </c>
      <c r="F19" s="4">
        <f t="shared" si="1"/>
        <v>3007</v>
      </c>
      <c r="G19" s="5" t="str">
        <f t="shared" si="0"/>
        <v/>
      </c>
    </row>
    <row r="20" spans="4:7" ht="15.75" x14ac:dyDescent="0.25">
      <c r="D20" s="4" t="s">
        <v>12</v>
      </c>
      <c r="E20" s="4">
        <v>14</v>
      </c>
      <c r="F20" s="4">
        <f t="shared" si="1"/>
        <v>3255</v>
      </c>
      <c r="G20" s="5" t="str">
        <f t="shared" si="0"/>
        <v/>
      </c>
    </row>
    <row r="21" spans="4:7" ht="15.75" x14ac:dyDescent="0.25">
      <c r="D21" s="4" t="s">
        <v>12</v>
      </c>
      <c r="E21" s="4">
        <v>15</v>
      </c>
      <c r="F21" s="4">
        <f t="shared" si="1"/>
        <v>3503</v>
      </c>
      <c r="G21" s="5" t="str">
        <f t="shared" si="0"/>
        <v/>
      </c>
    </row>
    <row r="22" spans="4:7" ht="15.75" x14ac:dyDescent="0.25">
      <c r="D22" s="4" t="s">
        <v>12</v>
      </c>
      <c r="E22" s="4">
        <v>16</v>
      </c>
      <c r="F22" s="4">
        <f t="shared" si="1"/>
        <v>3751</v>
      </c>
      <c r="G22" s="5" t="str">
        <f t="shared" si="0"/>
        <v/>
      </c>
    </row>
    <row r="23" spans="4:7" ht="15.75" x14ac:dyDescent="0.25">
      <c r="D23" s="4" t="s">
        <v>12</v>
      </c>
      <c r="E23" s="4">
        <v>17</v>
      </c>
      <c r="F23" s="4">
        <f t="shared" si="1"/>
        <v>3999</v>
      </c>
      <c r="G23" s="5" t="str">
        <f t="shared" si="0"/>
        <v/>
      </c>
    </row>
    <row r="24" spans="4:7" ht="15.75" x14ac:dyDescent="0.25">
      <c r="D24" s="4" t="s">
        <v>12</v>
      </c>
      <c r="E24" s="4">
        <v>18</v>
      </c>
      <c r="F24" s="4">
        <f t="shared" si="1"/>
        <v>4247</v>
      </c>
      <c r="G24" s="5" t="str">
        <f t="shared" si="0"/>
        <v/>
      </c>
    </row>
    <row r="25" spans="4:7" ht="15.75" x14ac:dyDescent="0.25">
      <c r="D25" s="4" t="s">
        <v>12</v>
      </c>
      <c r="E25" s="4">
        <v>19</v>
      </c>
      <c r="F25" s="4">
        <f t="shared" si="1"/>
        <v>4495</v>
      </c>
      <c r="G25" s="5" t="str">
        <f t="shared" si="0"/>
        <v/>
      </c>
    </row>
    <row r="26" spans="4:7" ht="15.75" x14ac:dyDescent="0.25">
      <c r="D26" s="4" t="s">
        <v>12</v>
      </c>
      <c r="E26" s="4">
        <v>20</v>
      </c>
      <c r="F26" s="4">
        <f t="shared" si="1"/>
        <v>4743</v>
      </c>
      <c r="G26" s="5" t="str">
        <f t="shared" si="0"/>
        <v/>
      </c>
    </row>
    <row r="27" spans="4:7" ht="15.75" x14ac:dyDescent="0.25">
      <c r="D27" s="4" t="s">
        <v>12</v>
      </c>
      <c r="E27" s="4">
        <v>21</v>
      </c>
      <c r="F27" s="4">
        <f t="shared" si="1"/>
        <v>4991</v>
      </c>
      <c r="G27" s="5" t="str">
        <f t="shared" si="0"/>
        <v/>
      </c>
    </row>
    <row r="28" spans="4:7" ht="15.75" x14ac:dyDescent="0.25">
      <c r="D28" s="4" t="s">
        <v>12</v>
      </c>
      <c r="E28" s="4">
        <v>22</v>
      </c>
      <c r="F28" s="4">
        <f t="shared" si="1"/>
        <v>5239</v>
      </c>
      <c r="G28" s="5" t="str">
        <f t="shared" si="0"/>
        <v/>
      </c>
    </row>
    <row r="29" spans="4:7" ht="15.75" x14ac:dyDescent="0.25">
      <c r="D29" s="4" t="s">
        <v>12</v>
      </c>
      <c r="E29" s="4">
        <v>23</v>
      </c>
      <c r="F29" s="4">
        <f t="shared" si="1"/>
        <v>5487</v>
      </c>
      <c r="G29" s="5" t="str">
        <f t="shared" si="0"/>
        <v/>
      </c>
    </row>
    <row r="30" spans="4:7" ht="15.75" x14ac:dyDescent="0.25">
      <c r="D30" s="4" t="s">
        <v>12</v>
      </c>
      <c r="E30" s="4">
        <v>24</v>
      </c>
      <c r="F30" s="4">
        <f t="shared" si="1"/>
        <v>5735</v>
      </c>
      <c r="G30" s="5" t="str">
        <f t="shared" si="0"/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2016-10-14T11:18:59Z</dcterms:modified>
</cp:coreProperties>
</file>